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2" windowWidth="16092" windowHeight="9660"/>
  </bookViews>
  <sheets>
    <sheet name="metrics_by_year" sheetId="1" r:id="rId1"/>
    <sheet name="signals_filtered" sheetId="2" r:id="rId2"/>
  </sheets>
  <calcPr calcId="125725"/>
</workbook>
</file>

<file path=xl/calcChain.xml><?xml version="1.0" encoding="utf-8"?>
<calcChain xmlns="http://schemas.openxmlformats.org/spreadsheetml/2006/main">
  <c r="H75" i="2"/>
  <c r="H74"/>
  <c r="H73"/>
</calcChain>
</file>

<file path=xl/sharedStrings.xml><?xml version="1.0" encoding="utf-8"?>
<sst xmlns="http://schemas.openxmlformats.org/spreadsheetml/2006/main" count="162" uniqueCount="16">
  <si>
    <t>year</t>
  </si>
  <si>
    <t>n_signals</t>
  </si>
  <si>
    <t>pct_positive</t>
  </si>
  <si>
    <t>mean_ret_per_signal</t>
  </si>
  <si>
    <t>price_end_year</t>
  </si>
  <si>
    <t>t_in</t>
  </si>
  <si>
    <t>timeframe</t>
  </si>
  <si>
    <t>rsi_period</t>
  </si>
  <si>
    <t>rsi_level</t>
  </si>
  <si>
    <t>price_in</t>
  </si>
  <si>
    <t>btc_close_year_end</t>
  </si>
  <si>
    <t>ret_end_year</t>
  </si>
  <si>
    <t>mms</t>
  </si>
  <si>
    <t>1wk</t>
  </si>
  <si>
    <t>no</t>
  </si>
  <si>
    <t>1mo</t>
  </si>
</sst>
</file>

<file path=xl/styles.xml><?xml version="1.0" encoding="utf-8"?>
<styleSheet xmlns="http://schemas.openxmlformats.org/spreadsheetml/2006/main">
  <numFmts count="1">
    <numFmt numFmtId="164" formatCode="yyyy\-mm\-dd\ hh:mm:ss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2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3"/>
  <sheetViews>
    <sheetView tabSelected="1" workbookViewId="0">
      <selection activeCell="G14" sqref="G14"/>
    </sheetView>
  </sheetViews>
  <sheetFormatPr baseColWidth="10" defaultColWidth="9.109375" defaultRowHeight="14.4"/>
  <cols>
    <col min="1" max="1" width="5" bestFit="1" customWidth="1"/>
    <col min="3" max="3" width="12" bestFit="1" customWidth="1"/>
    <col min="4" max="4" width="19.88671875" bestFit="1" customWidth="1"/>
    <col min="5" max="5" width="14.6640625" bestFit="1" customWidth="1"/>
  </cols>
  <sheetData>
    <row r="1" spans="1: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>
      <c r="A2">
        <v>2014</v>
      </c>
      <c r="B2">
        <v>3</v>
      </c>
      <c r="C2">
        <v>0</v>
      </c>
      <c r="D2">
        <v>-12.195903738825161</v>
      </c>
      <c r="E2">
        <v>264.19500732421881</v>
      </c>
    </row>
    <row r="3" spans="1:5">
      <c r="A3">
        <v>2015</v>
      </c>
      <c r="B3">
        <v>6</v>
      </c>
      <c r="C3">
        <v>100</v>
      </c>
      <c r="D3">
        <v>88.460020039725222</v>
      </c>
      <c r="E3">
        <v>430.010986328125</v>
      </c>
    </row>
    <row r="4" spans="1:5">
      <c r="A4">
        <v>2016</v>
      </c>
      <c r="B4">
        <v>5</v>
      </c>
      <c r="C4">
        <v>100</v>
      </c>
      <c r="D4">
        <v>109.8494018723697</v>
      </c>
      <c r="E4">
        <v>998.32501220703125</v>
      </c>
    </row>
    <row r="5" spans="1:5">
      <c r="A5">
        <v>2017</v>
      </c>
      <c r="B5">
        <v>3</v>
      </c>
      <c r="C5">
        <v>100</v>
      </c>
      <c r="D5">
        <v>764.3466340562112</v>
      </c>
      <c r="E5">
        <v>14156.400390625</v>
      </c>
    </row>
    <row r="6" spans="1:5">
      <c r="A6">
        <v>2018</v>
      </c>
      <c r="B6">
        <v>8</v>
      </c>
      <c r="C6">
        <v>12.5</v>
      </c>
      <c r="D6">
        <v>-34.515441052318103</v>
      </c>
      <c r="E6">
        <v>4076.632568359375</v>
      </c>
    </row>
    <row r="7" spans="1:5">
      <c r="A7">
        <v>2019</v>
      </c>
      <c r="B7">
        <v>4</v>
      </c>
      <c r="C7">
        <v>75</v>
      </c>
      <c r="D7">
        <v>28.54495252347682</v>
      </c>
      <c r="E7">
        <v>7411.3173828125</v>
      </c>
    </row>
    <row r="8" spans="1:5">
      <c r="A8">
        <v>2020</v>
      </c>
      <c r="B8">
        <v>4</v>
      </c>
      <c r="C8">
        <v>100</v>
      </c>
      <c r="D8">
        <v>328.49727376007678</v>
      </c>
      <c r="E8">
        <v>32782.0234375</v>
      </c>
    </row>
    <row r="9" spans="1:5">
      <c r="A9">
        <v>2021</v>
      </c>
      <c r="B9">
        <v>8</v>
      </c>
      <c r="C9">
        <v>75</v>
      </c>
      <c r="D9">
        <v>19.995864626842369</v>
      </c>
      <c r="E9">
        <v>47345.21875</v>
      </c>
    </row>
    <row r="10" spans="1:5">
      <c r="A10">
        <v>2022</v>
      </c>
      <c r="B10">
        <v>10</v>
      </c>
      <c r="C10">
        <v>10</v>
      </c>
      <c r="D10">
        <v>-34.27940368407063</v>
      </c>
      <c r="E10">
        <v>16625.080078125</v>
      </c>
    </row>
    <row r="11" spans="1:5">
      <c r="A11">
        <v>2023</v>
      </c>
      <c r="B11">
        <v>2</v>
      </c>
      <c r="C11">
        <v>100</v>
      </c>
      <c r="D11">
        <v>62.157514505780092</v>
      </c>
      <c r="E11">
        <v>42265.1875</v>
      </c>
    </row>
    <row r="12" spans="1:5">
      <c r="A12">
        <v>2024</v>
      </c>
      <c r="B12">
        <v>6</v>
      </c>
      <c r="C12">
        <v>100</v>
      </c>
      <c r="D12">
        <v>65.975906055749249</v>
      </c>
      <c r="E12">
        <v>98314.9609375</v>
      </c>
    </row>
    <row r="13" spans="1:5">
      <c r="A13">
        <v>2025</v>
      </c>
      <c r="B13">
        <v>15</v>
      </c>
      <c r="C13">
        <v>53.33</v>
      </c>
      <c r="D13">
        <v>-0.60299999999999998</v>
      </c>
      <c r="E13">
        <v>89605.414099999995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75"/>
  <sheetViews>
    <sheetView workbookViewId="0">
      <pane xSplit="9" ySplit="16" topLeftCell="J67" activePane="bottomRight" state="frozen"/>
      <selection pane="topRight" activeCell="J1" sqref="J1"/>
      <selection pane="bottomLeft" activeCell="A17" sqref="A17"/>
      <selection pane="bottomRight" activeCell="H64" sqref="H64"/>
    </sheetView>
  </sheetViews>
  <sheetFormatPr baseColWidth="10" defaultColWidth="9.109375" defaultRowHeight="14.4"/>
  <cols>
    <col min="1" max="1" width="18.109375" bestFit="1" customWidth="1"/>
    <col min="2" max="2" width="10.44140625" bestFit="1" customWidth="1"/>
    <col min="3" max="3" width="10" bestFit="1" customWidth="1"/>
    <col min="4" max="4" width="8.5546875" bestFit="1" customWidth="1"/>
    <col min="5" max="5" width="12" bestFit="1" customWidth="1"/>
    <col min="6" max="6" width="5" bestFit="1" customWidth="1"/>
    <col min="7" max="7" width="18.6640625" bestFit="1" customWidth="1"/>
    <col min="8" max="8" width="12.88671875" bestFit="1" customWidth="1"/>
    <col min="9" max="9" width="5.33203125" bestFit="1" customWidth="1"/>
  </cols>
  <sheetData>
    <row r="1" spans="1:9">
      <c r="A1" s="1" t="s">
        <v>5</v>
      </c>
      <c r="B1" s="1" t="s">
        <v>6</v>
      </c>
      <c r="C1" s="1" t="s">
        <v>7</v>
      </c>
      <c r="D1" s="1" t="s">
        <v>8</v>
      </c>
      <c r="E1" s="1" t="s">
        <v>9</v>
      </c>
      <c r="F1" s="1" t="s">
        <v>0</v>
      </c>
      <c r="G1" s="1" t="s">
        <v>10</v>
      </c>
      <c r="H1" s="1" t="s">
        <v>11</v>
      </c>
      <c r="I1" s="1" t="s">
        <v>12</v>
      </c>
    </row>
    <row r="2" spans="1:9">
      <c r="A2" s="2">
        <v>41939</v>
      </c>
      <c r="B2" t="s">
        <v>13</v>
      </c>
      <c r="C2">
        <v>3</v>
      </c>
      <c r="D2">
        <v>30</v>
      </c>
      <c r="E2">
        <v>325.89199829101562</v>
      </c>
      <c r="F2">
        <v>2014</v>
      </c>
      <c r="G2">
        <v>264.19500732421881</v>
      </c>
      <c r="H2">
        <v>-18.931729312268232</v>
      </c>
      <c r="I2" t="s">
        <v>14</v>
      </c>
    </row>
    <row r="3" spans="1:9">
      <c r="A3" s="2">
        <v>41988</v>
      </c>
      <c r="B3" t="s">
        <v>13</v>
      </c>
      <c r="C3">
        <v>3</v>
      </c>
      <c r="D3">
        <v>20</v>
      </c>
      <c r="E3">
        <v>320.84298706054687</v>
      </c>
      <c r="F3">
        <v>2014</v>
      </c>
      <c r="G3">
        <v>264.19500732421881</v>
      </c>
      <c r="H3">
        <v>-17.655981904207241</v>
      </c>
      <c r="I3" t="s">
        <v>14</v>
      </c>
    </row>
    <row r="4" spans="1:9">
      <c r="A4" s="2">
        <v>42002</v>
      </c>
      <c r="B4" t="s">
        <v>13</v>
      </c>
      <c r="C4">
        <v>3</v>
      </c>
      <c r="D4">
        <v>10</v>
      </c>
      <c r="E4">
        <v>264.19500732421881</v>
      </c>
      <c r="F4">
        <v>2014</v>
      </c>
      <c r="G4">
        <v>264.19500732421881</v>
      </c>
      <c r="H4">
        <v>0</v>
      </c>
      <c r="I4" t="s">
        <v>14</v>
      </c>
    </row>
    <row r="5" spans="1:9">
      <c r="A5" s="2">
        <v>42037</v>
      </c>
      <c r="B5" t="s">
        <v>13</v>
      </c>
      <c r="C5">
        <v>3</v>
      </c>
      <c r="D5">
        <v>30</v>
      </c>
      <c r="E5">
        <v>223.41200256347659</v>
      </c>
      <c r="F5">
        <v>2015</v>
      </c>
      <c r="G5">
        <v>430.010986328125</v>
      </c>
      <c r="H5">
        <v>92.474433510325326</v>
      </c>
      <c r="I5" t="s">
        <v>14</v>
      </c>
    </row>
    <row r="6" spans="1:9">
      <c r="A6" s="2">
        <v>42086</v>
      </c>
      <c r="B6" t="s">
        <v>13</v>
      </c>
      <c r="C6">
        <v>3</v>
      </c>
      <c r="D6">
        <v>30</v>
      </c>
      <c r="E6">
        <v>242.71299743652341</v>
      </c>
      <c r="F6">
        <v>2015</v>
      </c>
      <c r="G6">
        <v>430.010986328125</v>
      </c>
      <c r="H6">
        <v>77.168503899584323</v>
      </c>
      <c r="I6" t="s">
        <v>14</v>
      </c>
    </row>
    <row r="7" spans="1:9">
      <c r="A7" s="2">
        <v>42107</v>
      </c>
      <c r="B7" t="s">
        <v>13</v>
      </c>
      <c r="C7">
        <v>3</v>
      </c>
      <c r="D7">
        <v>30</v>
      </c>
      <c r="E7">
        <v>222.6000061035156</v>
      </c>
      <c r="F7">
        <v>2015</v>
      </c>
      <c r="G7">
        <v>430.010986328125</v>
      </c>
      <c r="H7">
        <v>93.176538426578986</v>
      </c>
      <c r="I7" t="s">
        <v>14</v>
      </c>
    </row>
    <row r="8" spans="1:9">
      <c r="A8" s="2">
        <v>42156</v>
      </c>
      <c r="B8" t="s">
        <v>13</v>
      </c>
      <c r="C8">
        <v>3</v>
      </c>
      <c r="D8">
        <v>30</v>
      </c>
      <c r="E8">
        <v>222.88099670410159</v>
      </c>
      <c r="F8">
        <v>2015</v>
      </c>
      <c r="G8">
        <v>430.010986328125</v>
      </c>
      <c r="H8">
        <v>92.932996840018021</v>
      </c>
      <c r="I8" t="s">
        <v>14</v>
      </c>
    </row>
    <row r="9" spans="1:9">
      <c r="A9" s="2">
        <v>42233</v>
      </c>
      <c r="B9" t="s">
        <v>13</v>
      </c>
      <c r="C9">
        <v>3</v>
      </c>
      <c r="D9">
        <v>20</v>
      </c>
      <c r="E9">
        <v>228.16900634765619</v>
      </c>
      <c r="F9">
        <v>2015</v>
      </c>
      <c r="G9">
        <v>430.010986328125</v>
      </c>
      <c r="H9">
        <v>88.461611509552014</v>
      </c>
      <c r="I9" t="s">
        <v>14</v>
      </c>
    </row>
    <row r="10" spans="1:9">
      <c r="A10" s="2">
        <v>42254</v>
      </c>
      <c r="B10" t="s">
        <v>13</v>
      </c>
      <c r="C10">
        <v>3</v>
      </c>
      <c r="D10">
        <v>30</v>
      </c>
      <c r="E10">
        <v>230.5119934082031</v>
      </c>
      <c r="F10">
        <v>2015</v>
      </c>
      <c r="G10">
        <v>430.010986328125</v>
      </c>
      <c r="H10">
        <v>86.546036052292635</v>
      </c>
      <c r="I10" t="s">
        <v>14</v>
      </c>
    </row>
    <row r="11" spans="1:9">
      <c r="A11" s="2">
        <v>42380</v>
      </c>
      <c r="B11" t="s">
        <v>13</v>
      </c>
      <c r="C11">
        <v>3</v>
      </c>
      <c r="D11">
        <v>30</v>
      </c>
      <c r="E11">
        <v>382.29901123046881</v>
      </c>
      <c r="F11">
        <v>2016</v>
      </c>
      <c r="G11">
        <v>998.32501220703125</v>
      </c>
      <c r="H11">
        <v>161.13722057345089</v>
      </c>
      <c r="I11" t="s">
        <v>14</v>
      </c>
    </row>
    <row r="12" spans="1:9">
      <c r="A12" s="2">
        <v>42394</v>
      </c>
      <c r="B12" t="s">
        <v>13</v>
      </c>
      <c r="C12">
        <v>3</v>
      </c>
      <c r="D12">
        <v>30</v>
      </c>
      <c r="E12">
        <v>368.76699829101562</v>
      </c>
      <c r="F12">
        <v>2016</v>
      </c>
      <c r="G12">
        <v>998.32501220703125</v>
      </c>
      <c r="H12">
        <v>170.71972731659531</v>
      </c>
      <c r="I12" t="s">
        <v>14</v>
      </c>
    </row>
    <row r="13" spans="1:9">
      <c r="A13" s="2">
        <v>42583</v>
      </c>
      <c r="B13" t="s">
        <v>13</v>
      </c>
      <c r="C13">
        <v>3</v>
      </c>
      <c r="D13">
        <v>30</v>
      </c>
      <c r="E13">
        <v>592.69000244140625</v>
      </c>
      <c r="F13">
        <v>2016</v>
      </c>
      <c r="G13">
        <v>998.32501220703125</v>
      </c>
      <c r="H13">
        <v>68.439657847227878</v>
      </c>
      <c r="I13" t="s">
        <v>14</v>
      </c>
    </row>
    <row r="14" spans="1:9">
      <c r="A14" s="2">
        <v>42590</v>
      </c>
      <c r="B14" t="s">
        <v>13</v>
      </c>
      <c r="C14">
        <v>3</v>
      </c>
      <c r="D14">
        <v>20</v>
      </c>
      <c r="E14">
        <v>570.4730224609375</v>
      </c>
      <c r="F14">
        <v>2016</v>
      </c>
      <c r="G14">
        <v>998.32501220703125</v>
      </c>
      <c r="H14">
        <v>74.999513193525374</v>
      </c>
      <c r="I14" t="s">
        <v>14</v>
      </c>
    </row>
    <row r="15" spans="1:9">
      <c r="A15" s="2">
        <v>42604</v>
      </c>
      <c r="B15" t="s">
        <v>13</v>
      </c>
      <c r="C15">
        <v>3</v>
      </c>
      <c r="D15">
        <v>30</v>
      </c>
      <c r="E15">
        <v>573.9119873046875</v>
      </c>
      <c r="F15">
        <v>2016</v>
      </c>
      <c r="G15">
        <v>998.32501220703125</v>
      </c>
      <c r="H15">
        <v>73.950890431048734</v>
      </c>
      <c r="I15" t="s">
        <v>14</v>
      </c>
    </row>
    <row r="16" spans="1:9">
      <c r="A16" s="2">
        <v>42814</v>
      </c>
      <c r="B16" t="s">
        <v>13</v>
      </c>
      <c r="C16">
        <v>3</v>
      </c>
      <c r="D16">
        <v>30</v>
      </c>
      <c r="E16">
        <v>966.72497558593761</v>
      </c>
      <c r="F16">
        <v>2017</v>
      </c>
      <c r="G16">
        <v>14156.400390625</v>
      </c>
      <c r="H16">
        <v>1364.3668828401501</v>
      </c>
      <c r="I16" t="s">
        <v>14</v>
      </c>
    </row>
    <row r="17" spans="1:9">
      <c r="A17" s="2">
        <v>42926</v>
      </c>
      <c r="B17" t="s">
        <v>13</v>
      </c>
      <c r="C17">
        <v>3</v>
      </c>
      <c r="D17">
        <v>20</v>
      </c>
      <c r="E17">
        <v>1929.819946289062</v>
      </c>
      <c r="F17">
        <v>2017</v>
      </c>
      <c r="G17">
        <v>14156.400390625</v>
      </c>
      <c r="H17">
        <v>633.56068361957693</v>
      </c>
      <c r="I17" t="s">
        <v>14</v>
      </c>
    </row>
    <row r="18" spans="1:9">
      <c r="A18" s="2">
        <v>42989</v>
      </c>
      <c r="B18" t="s">
        <v>13</v>
      </c>
      <c r="C18">
        <v>3</v>
      </c>
      <c r="D18">
        <v>30</v>
      </c>
      <c r="E18">
        <v>3582.8798828125</v>
      </c>
      <c r="F18">
        <v>2017</v>
      </c>
      <c r="G18">
        <v>14156.400390625</v>
      </c>
      <c r="H18">
        <v>295.11233570890653</v>
      </c>
      <c r="I18" t="s">
        <v>14</v>
      </c>
    </row>
    <row r="19" spans="1:9">
      <c r="A19" s="2">
        <v>43129</v>
      </c>
      <c r="B19" t="s">
        <v>13</v>
      </c>
      <c r="C19">
        <v>3</v>
      </c>
      <c r="D19">
        <v>20</v>
      </c>
      <c r="E19">
        <v>8277.009765625</v>
      </c>
      <c r="F19">
        <v>2018</v>
      </c>
      <c r="G19">
        <v>4076.632568359375</v>
      </c>
      <c r="H19">
        <v>-50.747520133540071</v>
      </c>
      <c r="I19" t="s">
        <v>14</v>
      </c>
    </row>
    <row r="20" spans="1:9">
      <c r="A20" s="2">
        <v>43171</v>
      </c>
      <c r="B20" t="s">
        <v>13</v>
      </c>
      <c r="C20">
        <v>3</v>
      </c>
      <c r="D20">
        <v>30</v>
      </c>
      <c r="E20">
        <v>8223.6796875</v>
      </c>
      <c r="F20">
        <v>2018</v>
      </c>
      <c r="G20">
        <v>4076.632568359375</v>
      </c>
      <c r="H20">
        <v>-50.428120704216383</v>
      </c>
      <c r="I20" t="s">
        <v>14</v>
      </c>
    </row>
    <row r="21" spans="1:9">
      <c r="A21" s="2">
        <v>43185</v>
      </c>
      <c r="B21" t="s">
        <v>13</v>
      </c>
      <c r="C21">
        <v>3</v>
      </c>
      <c r="D21">
        <v>30</v>
      </c>
      <c r="E21">
        <v>6844.22998046875</v>
      </c>
      <c r="F21">
        <v>2018</v>
      </c>
      <c r="G21">
        <v>4076.632568359375</v>
      </c>
      <c r="H21">
        <v>-40.436943527719187</v>
      </c>
      <c r="I21" t="s">
        <v>14</v>
      </c>
    </row>
    <row r="22" spans="1:9">
      <c r="A22" s="2">
        <v>43241</v>
      </c>
      <c r="B22" t="s">
        <v>13</v>
      </c>
      <c r="C22">
        <v>3</v>
      </c>
      <c r="D22">
        <v>20</v>
      </c>
      <c r="E22">
        <v>7368.22021484375</v>
      </c>
      <c r="F22">
        <v>2018</v>
      </c>
      <c r="G22">
        <v>4076.632568359375</v>
      </c>
      <c r="H22">
        <v>-44.672764256601091</v>
      </c>
      <c r="I22" t="s">
        <v>14</v>
      </c>
    </row>
    <row r="23" spans="1:9">
      <c r="A23" s="2">
        <v>43255</v>
      </c>
      <c r="B23" t="s">
        <v>13</v>
      </c>
      <c r="C23">
        <v>3</v>
      </c>
      <c r="D23">
        <v>20</v>
      </c>
      <c r="E23">
        <v>6786.02001953125</v>
      </c>
      <c r="F23">
        <v>2018</v>
      </c>
      <c r="G23">
        <v>4076.632568359375</v>
      </c>
      <c r="H23">
        <v>-39.926016182885178</v>
      </c>
      <c r="I23" t="s">
        <v>14</v>
      </c>
    </row>
    <row r="24" spans="1:9">
      <c r="A24" s="2">
        <v>43381</v>
      </c>
      <c r="B24" t="s">
        <v>13</v>
      </c>
      <c r="C24">
        <v>3</v>
      </c>
      <c r="D24">
        <v>30</v>
      </c>
      <c r="E24">
        <v>6290.93017578125</v>
      </c>
      <c r="F24">
        <v>2018</v>
      </c>
      <c r="G24">
        <v>4076.632568359375</v>
      </c>
      <c r="H24">
        <v>-35.19825440038187</v>
      </c>
      <c r="I24" t="s">
        <v>14</v>
      </c>
    </row>
    <row r="25" spans="1:9">
      <c r="A25" s="2">
        <v>43416</v>
      </c>
      <c r="B25" t="s">
        <v>13</v>
      </c>
      <c r="C25">
        <v>3</v>
      </c>
      <c r="D25">
        <v>10</v>
      </c>
      <c r="E25">
        <v>5623.5400390625</v>
      </c>
      <c r="F25">
        <v>2018</v>
      </c>
      <c r="G25">
        <v>4076.632568359375</v>
      </c>
      <c r="H25">
        <v>-27.507716846646829</v>
      </c>
      <c r="I25" t="s">
        <v>14</v>
      </c>
    </row>
    <row r="26" spans="1:9">
      <c r="A26" s="2">
        <v>43437</v>
      </c>
      <c r="B26" t="s">
        <v>13</v>
      </c>
      <c r="C26">
        <v>3</v>
      </c>
      <c r="D26">
        <v>10</v>
      </c>
      <c r="E26">
        <v>3614.234375</v>
      </c>
      <c r="F26">
        <v>2018</v>
      </c>
      <c r="G26">
        <v>4076.632568359375</v>
      </c>
      <c r="H26">
        <v>12.79380763344588</v>
      </c>
      <c r="I26" t="s">
        <v>14</v>
      </c>
    </row>
    <row r="27" spans="1:9">
      <c r="A27" s="2">
        <v>43493</v>
      </c>
      <c r="B27" t="s">
        <v>13</v>
      </c>
      <c r="C27">
        <v>3</v>
      </c>
      <c r="D27">
        <v>30</v>
      </c>
      <c r="E27">
        <v>3464.013427734375</v>
      </c>
      <c r="F27">
        <v>2019</v>
      </c>
      <c r="G27">
        <v>7411.3173828125</v>
      </c>
      <c r="H27">
        <v>113.9517509797831</v>
      </c>
      <c r="I27" t="s">
        <v>14</v>
      </c>
    </row>
    <row r="28" spans="1:9">
      <c r="A28" s="2">
        <v>43731</v>
      </c>
      <c r="B28" t="s">
        <v>13</v>
      </c>
      <c r="C28">
        <v>3</v>
      </c>
      <c r="D28">
        <v>20</v>
      </c>
      <c r="E28">
        <v>8104.185546875</v>
      </c>
      <c r="F28">
        <v>2019</v>
      </c>
      <c r="G28">
        <v>7411.3173828125</v>
      </c>
      <c r="H28">
        <v>-8.5495101272659308</v>
      </c>
      <c r="I28" t="s">
        <v>14</v>
      </c>
    </row>
    <row r="29" spans="1:9">
      <c r="A29" s="2">
        <v>43787</v>
      </c>
      <c r="B29" t="s">
        <v>13</v>
      </c>
      <c r="C29">
        <v>3</v>
      </c>
      <c r="D29">
        <v>20</v>
      </c>
      <c r="E29">
        <v>7047.9169921875</v>
      </c>
      <c r="F29">
        <v>2019</v>
      </c>
      <c r="G29">
        <v>7411.3173828125</v>
      </c>
      <c r="H29">
        <v>5.1561389134949138</v>
      </c>
      <c r="I29" t="s">
        <v>14</v>
      </c>
    </row>
    <row r="30" spans="1:9">
      <c r="A30" s="2">
        <v>43808</v>
      </c>
      <c r="B30" t="s">
        <v>13</v>
      </c>
      <c r="C30">
        <v>3</v>
      </c>
      <c r="D30">
        <v>30</v>
      </c>
      <c r="E30">
        <v>7152.3017578125</v>
      </c>
      <c r="F30">
        <v>2019</v>
      </c>
      <c r="G30">
        <v>7411.3173828125</v>
      </c>
      <c r="H30">
        <v>3.621430327895153</v>
      </c>
      <c r="I30" t="s">
        <v>14</v>
      </c>
    </row>
    <row r="31" spans="1:9">
      <c r="A31" s="2">
        <v>43885</v>
      </c>
      <c r="B31" t="s">
        <v>13</v>
      </c>
      <c r="C31">
        <v>3</v>
      </c>
      <c r="D31">
        <v>30</v>
      </c>
      <c r="E31">
        <v>8562.4541015625</v>
      </c>
      <c r="F31">
        <v>2020</v>
      </c>
      <c r="G31">
        <v>32782.0234375</v>
      </c>
      <c r="H31">
        <v>282.85780044669491</v>
      </c>
      <c r="I31" t="s">
        <v>14</v>
      </c>
    </row>
    <row r="32" spans="1:9">
      <c r="A32" s="2">
        <v>43892</v>
      </c>
      <c r="B32" t="s">
        <v>13</v>
      </c>
      <c r="C32">
        <v>3</v>
      </c>
      <c r="D32">
        <v>20</v>
      </c>
      <c r="E32">
        <v>8108.1162109375</v>
      </c>
      <c r="F32">
        <v>2020</v>
      </c>
      <c r="G32">
        <v>32782.0234375</v>
      </c>
      <c r="H32">
        <v>304.31121834783841</v>
      </c>
      <c r="I32" t="s">
        <v>14</v>
      </c>
    </row>
    <row r="33" spans="1:9">
      <c r="A33" s="2">
        <v>43899</v>
      </c>
      <c r="B33" t="s">
        <v>13</v>
      </c>
      <c r="C33">
        <v>3</v>
      </c>
      <c r="D33">
        <v>10</v>
      </c>
      <c r="E33">
        <v>5392.31494140625</v>
      </c>
      <c r="F33">
        <v>2020</v>
      </c>
      <c r="G33">
        <v>32782.0234375</v>
      </c>
      <c r="H33">
        <v>507.93970296087429</v>
      </c>
      <c r="I33" t="s">
        <v>14</v>
      </c>
    </row>
    <row r="34" spans="1:9">
      <c r="A34" s="2">
        <v>44074</v>
      </c>
      <c r="B34" t="s">
        <v>13</v>
      </c>
      <c r="C34">
        <v>3</v>
      </c>
      <c r="D34">
        <v>30</v>
      </c>
      <c r="E34">
        <v>10280.3515625</v>
      </c>
      <c r="F34">
        <v>2020</v>
      </c>
      <c r="G34">
        <v>32782.0234375</v>
      </c>
      <c r="H34">
        <v>218.88037328489949</v>
      </c>
      <c r="I34" t="s">
        <v>14</v>
      </c>
    </row>
    <row r="35" spans="1:9">
      <c r="A35" s="2">
        <v>44305</v>
      </c>
      <c r="B35" t="s">
        <v>13</v>
      </c>
      <c r="C35">
        <v>3</v>
      </c>
      <c r="D35">
        <v>30</v>
      </c>
      <c r="E35">
        <v>49004.25390625</v>
      </c>
      <c r="F35">
        <v>2021</v>
      </c>
      <c r="G35">
        <v>47345.21875</v>
      </c>
      <c r="H35">
        <v>-3.3854921236509359</v>
      </c>
      <c r="I35" t="s">
        <v>14</v>
      </c>
    </row>
    <row r="36" spans="1:9">
      <c r="A36" s="2">
        <v>44326</v>
      </c>
      <c r="B36" t="s">
        <v>13</v>
      </c>
      <c r="C36">
        <v>3</v>
      </c>
      <c r="D36">
        <v>30</v>
      </c>
      <c r="E36">
        <v>46456.05859375</v>
      </c>
      <c r="F36">
        <v>2021</v>
      </c>
      <c r="G36">
        <v>47345.21875</v>
      </c>
      <c r="H36">
        <v>1.913981046101108</v>
      </c>
      <c r="I36" t="s">
        <v>14</v>
      </c>
    </row>
    <row r="37" spans="1:9">
      <c r="A37" s="2">
        <v>44333</v>
      </c>
      <c r="B37" t="s">
        <v>13</v>
      </c>
      <c r="C37">
        <v>3</v>
      </c>
      <c r="D37">
        <v>20</v>
      </c>
      <c r="E37">
        <v>34770.58203125</v>
      </c>
      <c r="F37">
        <v>2021</v>
      </c>
      <c r="G37">
        <v>47345.21875</v>
      </c>
      <c r="H37">
        <v>36.164585072083547</v>
      </c>
      <c r="I37" t="s">
        <v>14</v>
      </c>
    </row>
    <row r="38" spans="1:9">
      <c r="A38" s="2">
        <v>44361</v>
      </c>
      <c r="B38" t="s">
        <v>13</v>
      </c>
      <c r="C38">
        <v>3</v>
      </c>
      <c r="D38">
        <v>30</v>
      </c>
      <c r="E38">
        <v>35698.296875</v>
      </c>
      <c r="F38">
        <v>2021</v>
      </c>
      <c r="G38">
        <v>47345.21875</v>
      </c>
      <c r="H38">
        <v>32.625987496777462</v>
      </c>
      <c r="I38" t="s">
        <v>14</v>
      </c>
    </row>
    <row r="39" spans="1:9">
      <c r="A39" s="2">
        <v>44382</v>
      </c>
      <c r="B39" t="s">
        <v>13</v>
      </c>
      <c r="C39">
        <v>3</v>
      </c>
      <c r="D39">
        <v>30</v>
      </c>
      <c r="E39">
        <v>34240.1875</v>
      </c>
      <c r="F39">
        <v>2021</v>
      </c>
      <c r="G39">
        <v>47345.21875</v>
      </c>
      <c r="H39">
        <v>38.273830276192257</v>
      </c>
      <c r="I39" t="s">
        <v>14</v>
      </c>
    </row>
    <row r="40" spans="1:9">
      <c r="A40" s="2">
        <v>44389</v>
      </c>
      <c r="B40" t="s">
        <v>13</v>
      </c>
      <c r="C40">
        <v>3</v>
      </c>
      <c r="D40">
        <v>20</v>
      </c>
      <c r="E40">
        <v>31796.810546875</v>
      </c>
      <c r="F40">
        <v>2021</v>
      </c>
      <c r="G40">
        <v>47345.21875</v>
      </c>
      <c r="H40">
        <v>48.899269881812423</v>
      </c>
      <c r="I40" t="s">
        <v>14</v>
      </c>
    </row>
    <row r="41" spans="1:9">
      <c r="A41" s="2">
        <v>44459</v>
      </c>
      <c r="B41" t="s">
        <v>13</v>
      </c>
      <c r="C41">
        <v>3</v>
      </c>
      <c r="D41">
        <v>30</v>
      </c>
      <c r="E41">
        <v>43208.5390625</v>
      </c>
      <c r="F41">
        <v>2021</v>
      </c>
      <c r="G41">
        <v>47345.21875</v>
      </c>
      <c r="H41">
        <v>9.5737550429937084</v>
      </c>
      <c r="I41" t="s">
        <v>14</v>
      </c>
    </row>
    <row r="42" spans="1:9">
      <c r="A42" s="2">
        <v>44529</v>
      </c>
      <c r="B42" t="s">
        <v>13</v>
      </c>
      <c r="C42">
        <v>3</v>
      </c>
      <c r="D42">
        <v>20</v>
      </c>
      <c r="E42">
        <v>49368.84765625</v>
      </c>
      <c r="F42">
        <v>2021</v>
      </c>
      <c r="G42">
        <v>47345.21875</v>
      </c>
      <c r="H42">
        <v>-4.0989996775705837</v>
      </c>
      <c r="I42" t="s">
        <v>14</v>
      </c>
    </row>
    <row r="43" spans="1:9">
      <c r="A43" s="2">
        <v>44564</v>
      </c>
      <c r="B43" t="s">
        <v>13</v>
      </c>
      <c r="C43">
        <v>3</v>
      </c>
      <c r="D43">
        <v>20</v>
      </c>
      <c r="E43">
        <v>41911.6015625</v>
      </c>
      <c r="F43">
        <v>2022</v>
      </c>
      <c r="G43">
        <v>16625.080078125</v>
      </c>
      <c r="H43">
        <v>-60.332987864152322</v>
      </c>
      <c r="I43" t="s">
        <v>14</v>
      </c>
    </row>
    <row r="44" spans="1:9">
      <c r="A44" s="2">
        <v>44578</v>
      </c>
      <c r="B44" t="s">
        <v>13</v>
      </c>
      <c r="C44">
        <v>3</v>
      </c>
      <c r="D44">
        <v>20</v>
      </c>
      <c r="E44">
        <v>36276.8046875</v>
      </c>
      <c r="F44">
        <v>2022</v>
      </c>
      <c r="G44">
        <v>16625.080078125</v>
      </c>
      <c r="H44">
        <v>-54.171597467476097</v>
      </c>
      <c r="I44" t="s">
        <v>14</v>
      </c>
    </row>
    <row r="45" spans="1:9">
      <c r="A45" s="2">
        <v>44613</v>
      </c>
      <c r="B45" t="s">
        <v>13</v>
      </c>
      <c r="C45">
        <v>3</v>
      </c>
      <c r="D45">
        <v>30</v>
      </c>
      <c r="E45">
        <v>37709.78515625</v>
      </c>
      <c r="F45">
        <v>2022</v>
      </c>
      <c r="G45">
        <v>16625.080078125</v>
      </c>
      <c r="H45">
        <v>-55.9130872551005</v>
      </c>
      <c r="I45" t="s">
        <v>14</v>
      </c>
    </row>
    <row r="46" spans="1:9">
      <c r="A46" s="2">
        <v>44662</v>
      </c>
      <c r="B46" t="s">
        <v>13</v>
      </c>
      <c r="C46">
        <v>3</v>
      </c>
      <c r="D46">
        <v>30</v>
      </c>
      <c r="E46">
        <v>39716.953125</v>
      </c>
      <c r="F46">
        <v>2022</v>
      </c>
      <c r="G46">
        <v>16625.080078125</v>
      </c>
      <c r="H46">
        <v>-58.141099026903262</v>
      </c>
      <c r="I46" t="s">
        <v>14</v>
      </c>
    </row>
    <row r="47" spans="1:9">
      <c r="A47" s="2">
        <v>44683</v>
      </c>
      <c r="B47" t="s">
        <v>13</v>
      </c>
      <c r="C47">
        <v>3</v>
      </c>
      <c r="D47">
        <v>10</v>
      </c>
      <c r="E47">
        <v>34059.265625</v>
      </c>
      <c r="F47">
        <v>2022</v>
      </c>
      <c r="G47">
        <v>16625.080078125</v>
      </c>
      <c r="H47">
        <v>-51.187790537908867</v>
      </c>
      <c r="I47" t="s">
        <v>14</v>
      </c>
    </row>
    <row r="48" spans="1:9">
      <c r="A48" s="2">
        <v>44718</v>
      </c>
      <c r="B48" t="s">
        <v>13</v>
      </c>
      <c r="C48">
        <v>3</v>
      </c>
      <c r="D48">
        <v>10</v>
      </c>
      <c r="E48">
        <v>26762.6484375</v>
      </c>
      <c r="F48">
        <v>2022</v>
      </c>
      <c r="G48">
        <v>16625.080078125</v>
      </c>
      <c r="H48">
        <v>-37.879540894652912</v>
      </c>
      <c r="I48" t="s">
        <v>14</v>
      </c>
    </row>
    <row r="49" spans="1:12">
      <c r="A49" s="2">
        <v>44795</v>
      </c>
      <c r="B49" t="s">
        <v>13</v>
      </c>
      <c r="C49">
        <v>3</v>
      </c>
      <c r="D49">
        <v>20</v>
      </c>
      <c r="E49">
        <v>19616.814453125</v>
      </c>
      <c r="F49">
        <v>2022</v>
      </c>
      <c r="G49">
        <v>16625.080078125</v>
      </c>
      <c r="H49">
        <v>-15.25086747468017</v>
      </c>
      <c r="I49" t="s">
        <v>14</v>
      </c>
    </row>
    <row r="50" spans="1:12">
      <c r="A50" s="2">
        <v>44823</v>
      </c>
      <c r="B50" t="s">
        <v>13</v>
      </c>
      <c r="C50">
        <v>3</v>
      </c>
      <c r="D50">
        <v>30</v>
      </c>
      <c r="E50">
        <v>18802.09765625</v>
      </c>
      <c r="F50">
        <v>2022</v>
      </c>
      <c r="G50">
        <v>16625.080078125</v>
      </c>
      <c r="H50">
        <v>-11.57858882517472</v>
      </c>
      <c r="I50" t="s">
        <v>14</v>
      </c>
    </row>
    <row r="51" spans="1:12">
      <c r="A51" s="2">
        <v>44872</v>
      </c>
      <c r="B51" t="s">
        <v>13</v>
      </c>
      <c r="C51">
        <v>3</v>
      </c>
      <c r="D51">
        <v>20</v>
      </c>
      <c r="E51">
        <v>16353.365234375</v>
      </c>
      <c r="F51">
        <v>2022</v>
      </c>
      <c r="G51">
        <v>16625.080078125</v>
      </c>
      <c r="H51">
        <v>1.6615225053425191</v>
      </c>
      <c r="I51" t="s">
        <v>14</v>
      </c>
    </row>
    <row r="52" spans="1:12">
      <c r="A52" s="2">
        <v>44921</v>
      </c>
      <c r="B52" t="s">
        <v>13</v>
      </c>
      <c r="C52">
        <v>3</v>
      </c>
      <c r="D52">
        <v>30</v>
      </c>
      <c r="E52">
        <v>16625.080078125</v>
      </c>
      <c r="F52">
        <v>2022</v>
      </c>
      <c r="G52">
        <v>16625.080078125</v>
      </c>
      <c r="H52">
        <v>0</v>
      </c>
      <c r="I52" t="s">
        <v>14</v>
      </c>
    </row>
    <row r="53" spans="1:12">
      <c r="A53" s="2">
        <v>45082</v>
      </c>
      <c r="B53" t="s">
        <v>13</v>
      </c>
      <c r="C53">
        <v>3</v>
      </c>
      <c r="D53">
        <v>30</v>
      </c>
      <c r="E53">
        <v>25940.16796875</v>
      </c>
      <c r="F53">
        <v>2023</v>
      </c>
      <c r="G53">
        <v>42265.1875</v>
      </c>
      <c r="H53">
        <v>62.933360920857083</v>
      </c>
      <c r="I53" t="s">
        <v>14</v>
      </c>
    </row>
    <row r="54" spans="1:12">
      <c r="A54" s="2">
        <v>45152</v>
      </c>
      <c r="B54" t="s">
        <v>13</v>
      </c>
      <c r="C54">
        <v>3</v>
      </c>
      <c r="D54">
        <v>10</v>
      </c>
      <c r="E54">
        <v>26189.583984375</v>
      </c>
      <c r="F54">
        <v>2023</v>
      </c>
      <c r="G54">
        <v>42265.1875</v>
      </c>
      <c r="H54">
        <v>61.381668090703101</v>
      </c>
      <c r="I54" t="s">
        <v>14</v>
      </c>
    </row>
    <row r="55" spans="1:12">
      <c r="A55" s="2">
        <v>45404</v>
      </c>
      <c r="B55" t="s">
        <v>13</v>
      </c>
      <c r="C55">
        <v>3</v>
      </c>
      <c r="D55">
        <v>30</v>
      </c>
      <c r="E55">
        <v>63113.23046875</v>
      </c>
      <c r="F55">
        <v>2024</v>
      </c>
      <c r="G55">
        <v>98314.9609375</v>
      </c>
      <c r="H55">
        <v>55.775516808919868</v>
      </c>
      <c r="I55" t="s">
        <v>14</v>
      </c>
    </row>
    <row r="56" spans="1:12">
      <c r="A56" s="2">
        <v>45418</v>
      </c>
      <c r="B56" t="s">
        <v>13</v>
      </c>
      <c r="C56">
        <v>3</v>
      </c>
      <c r="D56">
        <v>30</v>
      </c>
      <c r="E56">
        <v>61448.39453125</v>
      </c>
      <c r="F56">
        <v>2024</v>
      </c>
      <c r="G56">
        <v>98314.9609375</v>
      </c>
      <c r="H56">
        <v>59.995979858352953</v>
      </c>
      <c r="I56" t="s">
        <v>14</v>
      </c>
    </row>
    <row r="57" spans="1:12">
      <c r="A57" s="2">
        <v>45460</v>
      </c>
      <c r="B57" t="s">
        <v>13</v>
      </c>
      <c r="C57">
        <v>3</v>
      </c>
      <c r="D57">
        <v>30</v>
      </c>
      <c r="E57">
        <v>63180.796875</v>
      </c>
      <c r="F57">
        <v>2024</v>
      </c>
      <c r="G57">
        <v>98314.9609375</v>
      </c>
      <c r="H57">
        <v>55.608928345761697</v>
      </c>
      <c r="I57" t="s">
        <v>14</v>
      </c>
    </row>
    <row r="58" spans="1:12">
      <c r="A58" s="2">
        <v>45474</v>
      </c>
      <c r="B58" t="s">
        <v>13</v>
      </c>
      <c r="C58">
        <v>3</v>
      </c>
      <c r="D58">
        <v>10</v>
      </c>
      <c r="E58">
        <v>55849.109375</v>
      </c>
      <c r="F58">
        <v>2024</v>
      </c>
      <c r="G58">
        <v>98314.9609375</v>
      </c>
      <c r="H58">
        <v>76.036756964846404</v>
      </c>
      <c r="I58" t="s">
        <v>14</v>
      </c>
    </row>
    <row r="59" spans="1:12">
      <c r="A59" s="2">
        <v>45502</v>
      </c>
      <c r="B59" t="s">
        <v>13</v>
      </c>
      <c r="C59">
        <v>3</v>
      </c>
      <c r="D59">
        <v>30</v>
      </c>
      <c r="E59">
        <v>58116.9765625</v>
      </c>
      <c r="F59">
        <v>2024</v>
      </c>
      <c r="G59">
        <v>98314.9609375</v>
      </c>
      <c r="H59">
        <v>69.167370280816982</v>
      </c>
      <c r="I59" t="s">
        <v>14</v>
      </c>
    </row>
    <row r="60" spans="1:12">
      <c r="A60" s="2">
        <v>45537</v>
      </c>
      <c r="B60" t="s">
        <v>13</v>
      </c>
      <c r="C60">
        <v>3</v>
      </c>
      <c r="D60">
        <v>30</v>
      </c>
      <c r="E60">
        <v>54841.56640625</v>
      </c>
      <c r="F60">
        <v>2024</v>
      </c>
      <c r="G60">
        <v>98314.9609375</v>
      </c>
      <c r="H60">
        <v>79.270884075797611</v>
      </c>
      <c r="I60" t="s">
        <v>14</v>
      </c>
    </row>
    <row r="61" spans="1:12">
      <c r="A61" s="2">
        <v>45712</v>
      </c>
      <c r="B61" t="s">
        <v>13</v>
      </c>
      <c r="C61">
        <v>3</v>
      </c>
      <c r="D61">
        <v>30</v>
      </c>
      <c r="E61">
        <v>94248.3515625</v>
      </c>
      <c r="F61">
        <v>2025</v>
      </c>
      <c r="G61">
        <v>89605.414099999995</v>
      </c>
      <c r="H61">
        <v>-4.9262797948472097E-2</v>
      </c>
      <c r="I61" t="s">
        <v>14</v>
      </c>
    </row>
    <row r="62" spans="1:12">
      <c r="A62" s="2">
        <v>45719</v>
      </c>
      <c r="B62" t="s">
        <v>13</v>
      </c>
      <c r="C62">
        <v>3</v>
      </c>
      <c r="D62">
        <v>20</v>
      </c>
      <c r="E62">
        <v>80601.0390625</v>
      </c>
      <c r="F62">
        <v>2025</v>
      </c>
      <c r="G62">
        <v>89605.414099999995</v>
      </c>
      <c r="H62">
        <v>0.11171537122515</v>
      </c>
      <c r="I62" t="s">
        <v>14</v>
      </c>
    </row>
    <row r="63" spans="1:12">
      <c r="A63" s="2">
        <v>45740</v>
      </c>
      <c r="B63" t="s">
        <v>13</v>
      </c>
      <c r="C63">
        <v>3</v>
      </c>
      <c r="D63">
        <v>30</v>
      </c>
      <c r="E63">
        <v>82334.5234375</v>
      </c>
      <c r="F63">
        <v>2025</v>
      </c>
      <c r="G63">
        <v>89605.414099999995</v>
      </c>
      <c r="H63">
        <v>8.8309135966752939E-2</v>
      </c>
      <c r="I63" t="s">
        <v>14</v>
      </c>
    </row>
    <row r="64" spans="1:12">
      <c r="A64" s="2">
        <v>45747</v>
      </c>
      <c r="B64" t="s">
        <v>13</v>
      </c>
      <c r="C64">
        <v>3</v>
      </c>
      <c r="D64">
        <v>20</v>
      </c>
      <c r="E64">
        <v>78214.484375</v>
      </c>
      <c r="F64">
        <v>2025</v>
      </c>
      <c r="G64">
        <v>89605.414099999995</v>
      </c>
      <c r="H64">
        <v>0.14563708728022931</v>
      </c>
      <c r="I64" t="s">
        <v>14</v>
      </c>
      <c r="L64" s="3"/>
    </row>
    <row r="65" spans="1:9">
      <c r="A65" s="2">
        <v>45824</v>
      </c>
      <c r="B65" t="s">
        <v>13</v>
      </c>
      <c r="C65">
        <v>3</v>
      </c>
      <c r="D65">
        <v>30</v>
      </c>
      <c r="E65">
        <v>100987.140625</v>
      </c>
      <c r="F65">
        <v>2025</v>
      </c>
      <c r="G65">
        <v>89605.414099999995</v>
      </c>
      <c r="H65">
        <v>-0.11270471163020911</v>
      </c>
      <c r="I65" t="s">
        <v>14</v>
      </c>
    </row>
    <row r="66" spans="1:9">
      <c r="A66" s="2">
        <v>45894</v>
      </c>
      <c r="B66" t="s">
        <v>13</v>
      </c>
      <c r="C66">
        <v>3</v>
      </c>
      <c r="D66">
        <v>30</v>
      </c>
      <c r="E66">
        <v>108236.7109375</v>
      </c>
      <c r="F66">
        <v>2025</v>
      </c>
      <c r="G66">
        <v>89605.414099999995</v>
      </c>
      <c r="H66">
        <v>-0.17213472872211</v>
      </c>
      <c r="I66" t="s">
        <v>14</v>
      </c>
    </row>
    <row r="67" spans="1:9">
      <c r="A67" s="2">
        <v>45962</v>
      </c>
      <c r="B67" t="s">
        <v>15</v>
      </c>
      <c r="C67">
        <v>3</v>
      </c>
      <c r="D67">
        <v>30</v>
      </c>
      <c r="E67">
        <v>90394.3125</v>
      </c>
      <c r="F67">
        <v>2025</v>
      </c>
      <c r="G67">
        <v>89605.414099999995</v>
      </c>
      <c r="H67">
        <v>-8.3758899377657237E-3</v>
      </c>
      <c r="I67" t="s">
        <v>14</v>
      </c>
    </row>
    <row r="68" spans="1:9">
      <c r="A68" s="2">
        <v>45964</v>
      </c>
      <c r="B68" t="s">
        <v>13</v>
      </c>
      <c r="C68">
        <v>3</v>
      </c>
      <c r="D68">
        <v>30</v>
      </c>
      <c r="E68">
        <v>104719.640625</v>
      </c>
      <c r="F68">
        <v>2025</v>
      </c>
      <c r="G68">
        <v>89605.414099999995</v>
      </c>
      <c r="H68">
        <v>-0.14433038990865041</v>
      </c>
      <c r="I68" t="s">
        <v>14</v>
      </c>
    </row>
    <row r="69" spans="1:9">
      <c r="A69" s="2">
        <v>45971</v>
      </c>
      <c r="B69" t="s">
        <v>13</v>
      </c>
      <c r="C69">
        <v>3</v>
      </c>
      <c r="D69">
        <v>20</v>
      </c>
      <c r="E69">
        <v>94177.078125</v>
      </c>
      <c r="F69">
        <v>2025</v>
      </c>
      <c r="G69">
        <v>89605.414099999995</v>
      </c>
      <c r="H69">
        <v>-4.8543277764809052E-2</v>
      </c>
      <c r="I69" t="s">
        <v>14</v>
      </c>
    </row>
    <row r="70" spans="1:9">
      <c r="A70" s="2">
        <v>45978</v>
      </c>
      <c r="B70" t="s">
        <v>13</v>
      </c>
      <c r="C70">
        <v>3</v>
      </c>
      <c r="D70">
        <v>10</v>
      </c>
      <c r="E70">
        <v>86805.0078125</v>
      </c>
      <c r="F70">
        <v>2025</v>
      </c>
      <c r="G70">
        <v>89605.414099999995</v>
      </c>
      <c r="H70">
        <v>3.2260883566175291E-2</v>
      </c>
      <c r="I70" t="s">
        <v>14</v>
      </c>
    </row>
    <row r="71" spans="1:9">
      <c r="A71" s="2">
        <v>45985</v>
      </c>
      <c r="B71" t="s">
        <v>13</v>
      </c>
      <c r="C71">
        <v>3</v>
      </c>
      <c r="D71">
        <v>20</v>
      </c>
      <c r="E71">
        <v>90376.75</v>
      </c>
      <c r="F71">
        <v>2025</v>
      </c>
      <c r="G71">
        <v>89605.414099999995</v>
      </c>
      <c r="H71">
        <v>3.2260883566175291E-2</v>
      </c>
      <c r="I71" t="s">
        <v>14</v>
      </c>
    </row>
    <row r="72" spans="1:9">
      <c r="A72" s="2">
        <v>45992</v>
      </c>
      <c r="B72" t="s">
        <v>15</v>
      </c>
      <c r="C72">
        <v>3</v>
      </c>
      <c r="D72">
        <v>20</v>
      </c>
      <c r="E72">
        <v>88430.1328125</v>
      </c>
      <c r="F72">
        <v>2025</v>
      </c>
      <c r="G72">
        <v>89605.414099999995</v>
      </c>
      <c r="H72">
        <v>1.364972364747352E-2</v>
      </c>
      <c r="I72" t="s">
        <v>14</v>
      </c>
    </row>
    <row r="73" spans="1:9">
      <c r="A73" s="2">
        <v>45999</v>
      </c>
      <c r="B73" t="s">
        <v>13</v>
      </c>
      <c r="C73">
        <v>3</v>
      </c>
      <c r="D73">
        <v>20</v>
      </c>
      <c r="E73">
        <v>90162.91</v>
      </c>
      <c r="F73">
        <v>2025</v>
      </c>
      <c r="G73">
        <v>89605.414099999995</v>
      </c>
      <c r="H73">
        <f>(G73-E73)/E73</f>
        <v>-6.1832065979237913E-3</v>
      </c>
      <c r="I73" t="s">
        <v>14</v>
      </c>
    </row>
    <row r="74" spans="1:9">
      <c r="A74" s="2">
        <v>46006</v>
      </c>
      <c r="B74" t="s">
        <v>13</v>
      </c>
      <c r="C74">
        <v>3</v>
      </c>
      <c r="D74">
        <v>20</v>
      </c>
      <c r="E74">
        <v>88230.77</v>
      </c>
      <c r="F74">
        <v>2025</v>
      </c>
      <c r="G74">
        <v>89605.414099999995</v>
      </c>
      <c r="H74">
        <f t="shared" ref="H74:H75" si="0">(G74-E74)/E74</f>
        <v>1.5580098643591009E-2</v>
      </c>
      <c r="I74" t="s">
        <v>14</v>
      </c>
    </row>
    <row r="75" spans="1:9">
      <c r="A75" s="2">
        <v>46013</v>
      </c>
      <c r="B75" t="s">
        <v>13</v>
      </c>
      <c r="C75">
        <v>3</v>
      </c>
      <c r="D75">
        <v>20</v>
      </c>
      <c r="E75">
        <v>88577.42</v>
      </c>
      <c r="F75">
        <v>2025</v>
      </c>
      <c r="G75">
        <v>89605.414099999995</v>
      </c>
      <c r="H75">
        <f t="shared" si="0"/>
        <v>1.1605599937320327E-2</v>
      </c>
      <c r="I75" t="s">
        <v>14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metrics_by_year</vt:lpstr>
      <vt:lpstr>signals_filtered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Pablo</cp:lastModifiedBy>
  <dcterms:created xsi:type="dcterms:W3CDTF">2025-10-08T11:04:02Z</dcterms:created>
  <dcterms:modified xsi:type="dcterms:W3CDTF">2026-01-02T11:33:11Z</dcterms:modified>
</cp:coreProperties>
</file>